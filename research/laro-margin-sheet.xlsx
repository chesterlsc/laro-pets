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Tiers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<sst xmlns="http://schemas.openxmlformats.org/spreadsheetml/2006/main" count="107" uniqueCount="103">
  <si>
    <t xml:space="preserve">Laro Pets — unit economics inputs</t>
  </si>
  <si>
    <t xml:space="preserve">Legend: blue text = input you can change · yellow fill = assumption to confirm before launch · black = formula. Prices come from content/product.ts; change them there and on the Tiers sheet together.</t>
  </si>
  <si>
    <t xml:space="preserve">Sourcing case (USD per unit)</t>
  </si>
  <si>
    <t xml:space="preserve">Low (bulk)</t>
  </si>
  <si>
    <t xml:space="preserve">Typical (single)</t>
  </si>
  <si>
    <t xml:space="preserve">High (CJ fast)</t>
  </si>
  <si>
    <t xml:space="preserve">Source / note</t>
  </si>
  <si>
    <t xml:space="preserve">Product cost</t>
  </si>
  <si>
    <t xml:space="preserve">research/pricing.md (agent report, 3 Sep 2026): Alibaba bulk $3.80 / AliExpress single $6.87 / premium or CJ fast line $10.00</t>
  </si>
  <si>
    <t xml:space="preserve">Inbound shipping per unit</t>
  </si>
  <si>
    <t xml:space="preserve">research/pricing.md (agent report, 3 Sep 2026): consolidated freight vs single parcel vs CJ fast line</t>
  </si>
  <si>
    <t xml:space="preserve">Platform / payment fees on the purchase</t>
  </si>
  <si>
    <t xml:space="preserve">research/pricing.md (agent report, 3 Sep 2026): ~4% of product + shipping</t>
  </si>
  <si>
    <t xml:space="preserve">Landed cost per mat (USD)</t>
  </si>
  <si>
    <t xml:space="preserve">Formula: (product + shipping) × (1 + fees). Reproduces the ₱312 / ₱577 / ₱878 landed-cost table in the research.</t>
  </si>
  <si>
    <t xml:space="preserve">Landed cost per mat (PHP)</t>
  </si>
  <si>
    <t xml:space="preserve">Global assumptions</t>
  </si>
  <si>
    <t xml:space="preserve">Value</t>
  </si>
  <si>
    <t xml:space="preserve">FX rate (PHP per USD)</t>
  </si>
  <si>
    <t xml:space="preserve">research/pricing.md (agent report, 3 Sep 2026): XE mid-market, 3 Sep 2026</t>
  </si>
  <si>
    <t xml:space="preserve">Sourcing case used on the Tiers sheet (1 = Low, 2 = Typical, 3 = High)</t>
  </si>
  <si>
    <t xml:space="preserve">Picks the column of the table above. Bulk (1) is the only case where ₱799 clears the research’s 2.5× rule.</t>
  </si>
  <si>
    <t xml:space="preserve">Feather refill pack cost, 3 feathers (PHP)</t>
  </si>
  <si>
    <t xml:space="preserve">research/pricing.md (agent report, 3 Sep 2026): ₱15–19 per feather → 3-pack ≈ ₱45 landed</t>
  </si>
  <si>
    <t xml:space="preserve">Packaging + insert per order (PHP)</t>
  </si>
  <si>
    <t xml:space="preserve">ASSUMPTION: mailer bag, tape, quick-start card. Replace with your supplier quote.</t>
  </si>
  <si>
    <t xml:space="preserve">Courier zone used on the Tiers sheet (1 = Metro Manila, 2 = Provinces)</t>
  </si>
  <si>
    <t xml:space="preserve">Switch to see provincial economics.</t>
  </si>
  <si>
    <t xml:space="preserve">Courier cost — Metro Manila, up to 1 kg (PHP)</t>
  </si>
  <si>
    <t xml:space="preserve">ASSUMPTION — confirm with your J&amp;T / Flash / LBC merchant rate card. Shopee-subsidised rates (₱39–49) do NOT apply to direct shipping.</t>
  </si>
  <si>
    <t xml:space="preserve">Courier cost — Provinces, up to 1 kg (PHP)</t>
  </si>
  <si>
    <t xml:space="preserve">ASSUMPTION — confirm with the courier rate card (often ₱130–180).</t>
  </si>
  <si>
    <t xml:space="preserve">COD collection fee (% of amount collected)</t>
  </si>
  <si>
    <t xml:space="preserve">ASSUMPTION — merchant COD fees are typically 1.5–3%. Shopee reference: ₱25/order + 1.5%.</t>
  </si>
  <si>
    <t xml:space="preserve">COD fixed fee per order (PHP)</t>
  </si>
  <si>
    <t xml:space="preserve">Set if your courier charges a per-parcel COD fee.</t>
  </si>
  <si>
    <t xml:space="preserve">Payment method used on the Tiers sheet (1 = COD, 2 = GCash/Maya, 3 = Card)</t>
  </si>
  <si>
    <t xml:space="preserve">Most PH first orders are COD.</t>
  </si>
  <si>
    <t xml:space="preserve">PayMongo e-wallet fee, GCash / Maya (%)</t>
  </si>
  <si>
    <t xml:space="preserve">ASSUMPTION — PayMongo published rate ≈ 2.5% (+ VAT on the fee); confirm in your dashboard.</t>
  </si>
  <si>
    <t xml:space="preserve">PayMongo card fee (%)</t>
  </si>
  <si>
    <t xml:space="preserve">ASSUMPTION — ≈ 3.5% + ₱15 (+ VAT on the fee); confirm.</t>
  </si>
  <si>
    <t xml:space="preserve">PayMongo card fixed fee (PHP)</t>
  </si>
  <si>
    <t xml:space="preserve">ASSUMPTION — confirm.</t>
  </si>
  <si>
    <t xml:space="preserve">Returns + warranty reserve (% of price)</t>
  </si>
  <si>
    <t xml:space="preserve">research/pricing.md (agent report, 3 Sep 2026): reserve 3–5% for warranty swaps and Cat-Approved returns (return shipping is on you per the policy).</t>
  </si>
  <si>
    <t xml:space="preserve">Target contribution margin before ads (%)</t>
  </si>
  <si>
    <t xml:space="preserve">Your choice: the share of revenue that must survive product, shipping and fees before any ad spend.</t>
  </si>
  <si>
    <t xml:space="preserve">Selected landed cost per mat (PHP)</t>
  </si>
  <si>
    <t xml:space="preserve">Formula: the landed-cost column chosen in B13.</t>
  </si>
  <si>
    <t xml:space="preserve">Selected courier cost per order (PHP)</t>
  </si>
  <si>
    <t xml:space="preserve">Contribution margin per order, by bundle</t>
  </si>
  <si>
    <t xml:space="preserve">Line</t>
  </si>
  <si>
    <t xml:space="preserve">Solo Play</t>
  </si>
  <si>
    <t xml:space="preserve">Mat + Refill</t>
  </si>
  <si>
    <t xml:space="preserve">Multi-Cat Home</t>
  </si>
  <si>
    <t xml:space="preserve">How it is computed</t>
  </si>
  <si>
    <t xml:space="preserve">Price charged (PHP)</t>
  </si>
  <si>
    <t xml:space="preserve">content/product.ts prices — change there and here together</t>
  </si>
  <si>
    <t xml:space="preserve">Mats in the box</t>
  </si>
  <si>
    <t xml:space="preserve">content/product.ts tiers[].mats</t>
  </si>
  <si>
    <t xml:space="preserve">Refill packs included</t>
  </si>
  <si>
    <t xml:space="preserve">content/product.ts tiers[].refillsIncluded</t>
  </si>
  <si>
    <t xml:space="preserve">Shipping fee charged to the customer (PHP)</t>
  </si>
  <si>
    <t xml:space="preserve">lib/pricing.ts: ₱79 below ₱899, free at ₱899+</t>
  </si>
  <si>
    <t xml:space="preserve">Revenue per order (price + shipping fee)</t>
  </si>
  <si>
    <t xml:space="preserve">price + shipping charged</t>
  </si>
  <si>
    <t xml:space="preserve">Product cost (mats × landed)</t>
  </si>
  <si>
    <t xml:space="preserve">Inputs B28 (selected sourcing case)</t>
  </si>
  <si>
    <t xml:space="preserve">Refill packs cost</t>
  </si>
  <si>
    <t xml:space="preserve">Inputs B14</t>
  </si>
  <si>
    <t xml:space="preserve">Packaging</t>
  </si>
  <si>
    <t xml:space="preserve">Inputs B15</t>
  </si>
  <si>
    <t xml:space="preserve">Courier cost</t>
  </si>
  <si>
    <t xml:space="preserve">Inputs B29 (selected zone). Multi-Cat may exceed 1 kg — check the rate card.</t>
  </si>
  <si>
    <t xml:space="preserve">Payment / COD fees</t>
  </si>
  <si>
    <t xml:space="preserve">COD % + fixed, or PayMongo e-wallet %, or card % + fixed, applied to revenue</t>
  </si>
  <si>
    <t xml:space="preserve">Returns + warranty reserve</t>
  </si>
  <si>
    <t xml:space="preserve">Inputs B25 × price</t>
  </si>
  <si>
    <t xml:space="preserve">Total cost per order</t>
  </si>
  <si>
    <t xml:space="preserve">sum of the six cost lines</t>
  </si>
  <si>
    <t xml:space="preserve">Contribution per order (PHP)</t>
  </si>
  <si>
    <t xml:space="preserve">revenue − total cost, before ads and fixed costs</t>
  </si>
  <si>
    <t xml:space="preserve">Contribution margin (% of revenue)</t>
  </si>
  <si>
    <t xml:space="preserve">Price ÷ landed product cost</t>
  </si>
  <si>
    <t xml:space="preserve">the research targets ≥ 2.5×</t>
  </si>
  <si>
    <t xml:space="preserve">Max ad spend per order at the target margin</t>
  </si>
  <si>
    <t xml:space="preserve">contribution − target margin × revenue; negative means the price cannot carry that target</t>
  </si>
  <si>
    <t xml:space="preserve">Orders per month to cover ₱10,000 of fixed costs</t>
  </si>
  <si>
    <t xml:space="preserve">subscriptions, packaging stock, etc.</t>
  </si>
  <si>
    <t xml:space="preserve">Mat + Refill (₱899, free shipping), Cash on Delivery — every sourcing case at once</t>
  </si>
  <si>
    <t xml:space="preserve">Same cost lines as the Tiers sheet, evaluated for all three sourcing cases and both zones, so the whole picture is visible without flipping inputs.</t>
  </si>
  <si>
    <t xml:space="preserve">Metric</t>
  </si>
  <si>
    <t xml:space="preserve">Landed cost per mat</t>
  </si>
  <si>
    <t xml:space="preserve">Contribution per order — Metro Manila</t>
  </si>
  <si>
    <t xml:space="preserve">Contribution per order — Provinces</t>
  </si>
  <si>
    <t xml:space="preserve">Margin % — Metro Manila</t>
  </si>
  <si>
    <t xml:space="preserve">Margin % — Provinces</t>
  </si>
  <si>
    <t xml:space="preserve">Price ÷ landed</t>
  </si>
  <si>
    <t xml:space="preserve">Reading: only the bulk case keeps ₱899 near the research’s 2.5× rule. Single-unit AliExpress sourcing leaves a thin margin once courier, COD fee and the returns reserve are counted, and the high case loses money.</t>
  </si>
  <si>
    <t xml:space="preserve">Sources</t>
  </si>
  <si>
    <t xml:space="preserve">research/pricing.md (agent report, 3 Sep 2026): supplier listings, landed-cost table, Shopee fee references, BOC de minimis ₱10,000 (bulk restocks above it pay duty + 12% VAT + brokerage).</t>
  </si>
  <si>
    <t xml:space="preserve">Courier, COD and PayMongo fees are assumptions (yellow cells on Inputs). Replace them with your rate cards before relying on this sheet.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</si>
</sst>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%;\(0.0%\);\-"/>
    <numFmt numFmtId="167" formatCode="\₱#,##0;&quot;(₱&quot;#,##0\);\-"/>
    <numFmt numFmtId="168" formatCode="\₱#,##0.00"/>
    <numFmt numFmtId="169" formatCode="0"/>
    <numFmt numFmtId="170" formatCode="\₱#,##0.00;&quot;(₱&quot;#,##0.00\);\-"/>
    <numFmt numFmtId="171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A647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5C6B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6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C6B"/>
      <rgbColor rgb="FFD9D2C5"/>
      <rgbColor rgb="FF808080"/>
      <rgbColor rgb="FF9999FF"/>
      <rgbColor rgb="FF993366"/>
      <rgbColor rgb="FFFFF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  <col collapsed="false" customWidth="true" hidden="false" outlineLevel="0" max="5" min="5" style="0" width="78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3.8</v>
      </c>
      <c r="C5" s="5" t="n">
        <v>6.87</v>
      </c>
      <c r="D5" s="5" t="n">
        <v>10</v>
      </c>
      <c r="E5" s="6" t="s">
        <v>8</v>
      </c>
    </row>
    <row r="6" customFormat="false" ht="15" hidden="false" customHeight="false" outlineLevel="0" collapsed="false">
      <c r="A6" s="4" t="s">
        <v>9</v>
      </c>
      <c r="B6" s="5" t="n">
        <v>1</v>
      </c>
      <c r="C6" s="5" t="n">
        <v>2</v>
      </c>
      <c r="D6" s="5" t="n">
        <v>3.5</v>
      </c>
      <c r="E6" s="6" t="s">
        <v>10</v>
      </c>
    </row>
    <row r="7" customFormat="false" ht="15" hidden="false" customHeight="false" outlineLevel="0" collapsed="false">
      <c r="A7" s="4" t="s">
        <v>11</v>
      </c>
      <c r="B7" s="7" t="n">
        <v>0.04</v>
      </c>
      <c r="C7" s="7" t="n">
        <v>0.04</v>
      </c>
      <c r="D7" s="7" t="n">
        <v>0.04</v>
      </c>
      <c r="E7" s="6" t="s">
        <v>12</v>
      </c>
    </row>
    <row r="8" customFormat="false" ht="15" hidden="false" customHeight="false" outlineLevel="0" collapsed="false">
      <c r="A8" s="8" t="s">
        <v>13</v>
      </c>
      <c r="B8" s="9" t="n">
        <f aca="false">(B5+B6)*(1+B7)</f>
        <v>4.992</v>
      </c>
      <c r="C8" s="9" t="n">
        <f aca="false">(C5+C6)*(1+C7)</f>
        <v>9.2248</v>
      </c>
      <c r="D8" s="9" t="n">
        <f aca="false">(D5+D6)*(1+D7)</f>
        <v>14.04</v>
      </c>
      <c r="E8" s="6" t="s">
        <v>14</v>
      </c>
    </row>
    <row r="9" customFormat="false" ht="15" hidden="false" customHeight="false" outlineLevel="0" collapsed="false">
      <c r="A9" s="8" t="s">
        <v>15</v>
      </c>
      <c r="B9" s="10" t="n">
        <f aca="false">B8*$B$12</f>
        <v>312.14976</v>
      </c>
      <c r="C9" s="10" t="n">
        <f aca="false">C8*$B$12</f>
        <v>576.826744</v>
      </c>
      <c r="D9" s="10" t="n">
        <f aca="false">D8*$B$12</f>
        <v>877.9212</v>
      </c>
    </row>
    <row r="11" customFormat="false" ht="15" hidden="false" customHeight="false" outlineLevel="0" collapsed="false">
      <c r="A11" s="3" t="s">
        <v>16</v>
      </c>
      <c r="B11" s="3" t="s">
        <v>17</v>
      </c>
      <c r="E11" s="3" t="s">
        <v>6</v>
      </c>
    </row>
    <row r="12" customFormat="false" ht="15" hidden="false" customHeight="false" outlineLevel="0" collapsed="false">
      <c r="A12" s="4" t="s">
        <v>18</v>
      </c>
      <c r="B12" s="11" t="n">
        <v>62.53</v>
      </c>
      <c r="E12" s="12" t="s">
        <v>19</v>
      </c>
    </row>
    <row r="13" customFormat="false" ht="22.35" hidden="false" customHeight="false" outlineLevel="0" collapsed="false">
      <c r="A13" s="4" t="s">
        <v>20</v>
      </c>
      <c r="B13" s="13" t="n">
        <v>1</v>
      </c>
      <c r="E13" s="12" t="s">
        <v>21</v>
      </c>
    </row>
    <row r="14" customFormat="false" ht="15" hidden="false" customHeight="false" outlineLevel="0" collapsed="false">
      <c r="A14" s="4" t="s">
        <v>22</v>
      </c>
      <c r="B14" s="14" t="n">
        <v>45</v>
      </c>
      <c r="E14" s="12" t="s">
        <v>23</v>
      </c>
    </row>
    <row r="15" customFormat="false" ht="15" hidden="false" customHeight="false" outlineLevel="0" collapsed="false">
      <c r="A15" s="4" t="s">
        <v>24</v>
      </c>
      <c r="B15" s="15" t="n">
        <v>15</v>
      </c>
      <c r="E15" s="12" t="s">
        <v>25</v>
      </c>
    </row>
    <row r="16" customFormat="false" ht="15" hidden="false" customHeight="false" outlineLevel="0" collapsed="false">
      <c r="A16" s="4" t="s">
        <v>26</v>
      </c>
      <c r="B16" s="16" t="n">
        <v>1</v>
      </c>
      <c r="E16" s="12" t="s">
        <v>27</v>
      </c>
    </row>
    <row r="17" customFormat="false" ht="22.35" hidden="false" customHeight="false" outlineLevel="0" collapsed="false">
      <c r="A17" s="4" t="s">
        <v>28</v>
      </c>
      <c r="B17" s="15" t="n">
        <v>85</v>
      </c>
      <c r="E17" s="12" t="s">
        <v>29</v>
      </c>
    </row>
    <row r="18" customFormat="false" ht="15" hidden="false" customHeight="false" outlineLevel="0" collapsed="false">
      <c r="A18" s="4" t="s">
        <v>30</v>
      </c>
      <c r="B18" s="15" t="n">
        <v>150</v>
      </c>
      <c r="E18" s="12" t="s">
        <v>31</v>
      </c>
    </row>
    <row r="19" customFormat="false" ht="15" hidden="false" customHeight="false" outlineLevel="0" collapsed="false">
      <c r="A19" s="4" t="s">
        <v>32</v>
      </c>
      <c r="B19" s="17" t="n">
        <v>0.02</v>
      </c>
      <c r="E19" s="12" t="s">
        <v>33</v>
      </c>
    </row>
    <row r="20" customFormat="false" ht="15" hidden="false" customHeight="false" outlineLevel="0" collapsed="false">
      <c r="A20" s="4" t="s">
        <v>34</v>
      </c>
      <c r="B20" s="15" t="n">
        <v>0</v>
      </c>
      <c r="E20" s="12" t="s">
        <v>35</v>
      </c>
    </row>
    <row r="21" customFormat="false" ht="15" hidden="false" customHeight="false" outlineLevel="0" collapsed="false">
      <c r="A21" s="4" t="s">
        <v>36</v>
      </c>
      <c r="B21" s="16" t="n">
        <v>1</v>
      </c>
      <c r="E21" s="12" t="s">
        <v>37</v>
      </c>
    </row>
    <row r="22" customFormat="false" ht="15" hidden="false" customHeight="false" outlineLevel="0" collapsed="false">
      <c r="A22" s="4" t="s">
        <v>38</v>
      </c>
      <c r="B22" s="17" t="n">
        <v>0.025</v>
      </c>
      <c r="E22" s="12" t="s">
        <v>39</v>
      </c>
    </row>
    <row r="23" customFormat="false" ht="15" hidden="false" customHeight="false" outlineLevel="0" collapsed="false">
      <c r="A23" s="4" t="s">
        <v>40</v>
      </c>
      <c r="B23" s="17" t="n">
        <v>0.035</v>
      </c>
      <c r="E23" s="12" t="s">
        <v>41</v>
      </c>
    </row>
    <row r="24" customFormat="false" ht="15" hidden="false" customHeight="false" outlineLevel="0" collapsed="false">
      <c r="A24" s="4" t="s">
        <v>42</v>
      </c>
      <c r="B24" s="15" t="n">
        <v>15</v>
      </c>
      <c r="E24" s="12" t="s">
        <v>43</v>
      </c>
    </row>
    <row r="25" customFormat="false" ht="22.35" hidden="false" customHeight="false" outlineLevel="0" collapsed="false">
      <c r="A25" s="4" t="s">
        <v>44</v>
      </c>
      <c r="B25" s="7" t="n">
        <v>0.04</v>
      </c>
      <c r="E25" s="12" t="s">
        <v>45</v>
      </c>
    </row>
    <row r="26" customFormat="false" ht="15" hidden="false" customHeight="false" outlineLevel="0" collapsed="false">
      <c r="A26" s="4" t="s">
        <v>46</v>
      </c>
      <c r="B26" s="17" t="n">
        <v>0.4</v>
      </c>
      <c r="E26" s="12" t="s">
        <v>47</v>
      </c>
    </row>
    <row r="28" customFormat="false" ht="15" hidden="false" customHeight="false" outlineLevel="0" collapsed="false">
      <c r="A28" s="8" t="s">
        <v>48</v>
      </c>
      <c r="B28" s="18" t="n">
        <f aca="false">INDEX($B$9:$D$9,1,Inputs!$B$13)</f>
        <v>312.14976</v>
      </c>
      <c r="E28" s="6" t="s">
        <v>49</v>
      </c>
    </row>
    <row r="29" customFormat="false" ht="15" hidden="false" customHeight="false" outlineLevel="0" collapsed="false">
      <c r="A29" s="8" t="s">
        <v>50</v>
      </c>
      <c r="B29" s="18" t="n">
        <f aca="false">IF(Inputs!$B$16=1,Inputs!$B$17,Inputs!$B$18)</f>
        <v>85</v>
      </c>
    </row>
  </sheetData>
  <mergeCells count="1">
    <mergeCell ref="A2:E2"/>
  </mergeCells>
  <dataValidations count="2">
    <dataValidation allowBlank="false" errorStyle="stop" operator="between" showDropDown="false" showErrorMessage="false" showInputMessage="false" sqref="B13 B21" type="list">
      <formula1>"1,2,3"</formula1>
      <formula2>0</formula2>
    </dataValidation>
    <dataValidation allowBlank="false" errorStyle="stop" operator="between" showDropDown="false" showErrorMessage="false" showInputMessage="false" sqref="B16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19" t="str">
        <f aca="false">"Sourcing: "&amp;IF(Inputs!$B$13=1,"Low (bulk)",IF(Inputs!$B$13=2,"Typical (single)","High (CJ fast)"))&amp;"  ·  Zone: "&amp;IF(Inputs!$B$16=1,"Metro Manila","Provinces")&amp;"  ·  Payment: "&amp;IF(Inputs!$B$21=1,"Cash on Delivery",IF(Inputs!$B$21=2,"GCash / Maya","Card"))</f>
        <v>Sourcing: Low (bulk)  ·  Zone: Metro Manila  ·  Payment: Cash on Delivery</v>
      </c>
      <c r="B2" s="19"/>
      <c r="C2" s="19"/>
      <c r="D2" s="19"/>
      <c r="E2" s="19"/>
    </row>
    <row r="4" customFormat="false" ht="15" hidden="false" customHeight="false" outlineLevel="0" collapsed="false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</row>
    <row r="5" customFormat="false" ht="15" hidden="false" customHeight="false" outlineLevel="0" collapsed="false">
      <c r="A5" s="4" t="s">
        <v>57</v>
      </c>
      <c r="B5" s="14" t="n">
        <v>799</v>
      </c>
      <c r="C5" s="14" t="n">
        <v>899</v>
      </c>
      <c r="D5" s="14" t="n">
        <v>1679</v>
      </c>
      <c r="E5" s="6" t="s">
        <v>58</v>
      </c>
    </row>
    <row r="6" customFormat="false" ht="15" hidden="false" customHeight="false" outlineLevel="0" collapsed="false">
      <c r="A6" s="4" t="s">
        <v>59</v>
      </c>
      <c r="B6" s="16" t="n">
        <v>1</v>
      </c>
      <c r="C6" s="16" t="n">
        <v>1</v>
      </c>
      <c r="D6" s="16" t="n">
        <v>2</v>
      </c>
      <c r="E6" s="6" t="s">
        <v>60</v>
      </c>
    </row>
    <row r="7" customFormat="false" ht="15" hidden="false" customHeight="false" outlineLevel="0" collapsed="false">
      <c r="A7" s="4" t="s">
        <v>61</v>
      </c>
      <c r="B7" s="16" t="n">
        <v>0</v>
      </c>
      <c r="C7" s="16" t="n">
        <v>1</v>
      </c>
      <c r="D7" s="16" t="n">
        <v>1</v>
      </c>
      <c r="E7" s="6" t="s">
        <v>62</v>
      </c>
    </row>
    <row r="8" customFormat="false" ht="15" hidden="false" customHeight="false" outlineLevel="0" collapsed="false">
      <c r="A8" s="4" t="s">
        <v>63</v>
      </c>
      <c r="B8" s="14" t="n">
        <v>79</v>
      </c>
      <c r="C8" s="14" t="n">
        <v>0</v>
      </c>
      <c r="D8" s="14" t="n">
        <v>0</v>
      </c>
      <c r="E8" s="6" t="s">
        <v>64</v>
      </c>
    </row>
    <row r="9" customFormat="false" ht="15" hidden="false" customHeight="false" outlineLevel="0" collapsed="false">
      <c r="A9" s="4" t="s">
        <v>65</v>
      </c>
      <c r="B9" s="10" t="n">
        <f aca="false">B5+B8</f>
        <v>878</v>
      </c>
      <c r="C9" s="10" t="n">
        <f aca="false">C5+C8</f>
        <v>899</v>
      </c>
      <c r="D9" s="10" t="n">
        <f aca="false">D5+D8</f>
        <v>1679</v>
      </c>
      <c r="E9" s="6" t="s">
        <v>66</v>
      </c>
    </row>
    <row r="10" customFormat="false" ht="15" hidden="false" customHeight="false" outlineLevel="0" collapsed="false">
      <c r="A10" s="4" t="s">
        <v>67</v>
      </c>
      <c r="B10" s="10" t="n">
        <f aca="false">B6*Inputs!$B$28</f>
        <v>312.14976</v>
      </c>
      <c r="C10" s="10" t="n">
        <f aca="false">C6*Inputs!$B$28</f>
        <v>312.14976</v>
      </c>
      <c r="D10" s="10" t="n">
        <f aca="false">D6*Inputs!$B$28</f>
        <v>624.29952</v>
      </c>
      <c r="E10" s="6" t="s">
        <v>68</v>
      </c>
    </row>
    <row r="11" customFormat="false" ht="15" hidden="false" customHeight="false" outlineLevel="0" collapsed="false">
      <c r="A11" s="4" t="s">
        <v>69</v>
      </c>
      <c r="B11" s="10" t="n">
        <f aca="false">B7*Inputs!$B$14</f>
        <v>0</v>
      </c>
      <c r="C11" s="10" t="n">
        <f aca="false">C7*Inputs!$B$14</f>
        <v>45</v>
      </c>
      <c r="D11" s="10" t="n">
        <f aca="false">D7*Inputs!$B$14</f>
        <v>45</v>
      </c>
      <c r="E11" s="6" t="s">
        <v>70</v>
      </c>
    </row>
    <row r="12" customFormat="false" ht="15" hidden="false" customHeight="false" outlineLevel="0" collapsed="false">
      <c r="A12" s="4" t="s">
        <v>71</v>
      </c>
      <c r="B12" s="10" t="n">
        <f aca="false">Inputs!$B$15</f>
        <v>15</v>
      </c>
      <c r="C12" s="10" t="n">
        <f aca="false">Inputs!$B$15</f>
        <v>15</v>
      </c>
      <c r="D12" s="10" t="n">
        <f aca="false">Inputs!$B$15</f>
        <v>15</v>
      </c>
      <c r="E12" s="6" t="s">
        <v>72</v>
      </c>
    </row>
    <row r="13" customFormat="false" ht="15" hidden="false" customHeight="false" outlineLevel="0" collapsed="false">
      <c r="A13" s="4" t="s">
        <v>73</v>
      </c>
      <c r="B13" s="10" t="n">
        <f aca="false">Inputs!$B$29</f>
        <v>85</v>
      </c>
      <c r="C13" s="10" t="n">
        <f aca="false">Inputs!$B$29</f>
        <v>85</v>
      </c>
      <c r="D13" s="10" t="n">
        <f aca="false">Inputs!$B$29</f>
        <v>85</v>
      </c>
      <c r="E13" s="6" t="s">
        <v>74</v>
      </c>
    </row>
    <row r="14" customFormat="false" ht="15" hidden="false" customHeight="false" outlineLevel="0" collapsed="false">
      <c r="A14" s="4" t="s">
        <v>75</v>
      </c>
      <c r="B14" s="20" t="n">
        <f aca="false">IF(Inputs!$B$21=1,B9*Inputs!$B$19+Inputs!$B$20,IF(Inputs!$B$21=2,B9*Inputs!$B$22,B9*Inputs!$B$23+Inputs!$B$24))</f>
        <v>17.56</v>
      </c>
      <c r="C14" s="20" t="n">
        <f aca="false">IF(Inputs!$B$21=1,C9*Inputs!$B$19+Inputs!$B$20,IF(Inputs!$B$21=2,C9*Inputs!$B$22,C9*Inputs!$B$23+Inputs!$B$24))</f>
        <v>17.98</v>
      </c>
      <c r="D14" s="20" t="n">
        <f aca="false">IF(Inputs!$B$21=1,D9*Inputs!$B$19+Inputs!$B$20,IF(Inputs!$B$21=2,D9*Inputs!$B$22,D9*Inputs!$B$23+Inputs!$B$24))</f>
        <v>33.58</v>
      </c>
      <c r="E14" s="6" t="s">
        <v>76</v>
      </c>
    </row>
    <row r="15" customFormat="false" ht="15" hidden="false" customHeight="false" outlineLevel="0" collapsed="false">
      <c r="A15" s="4" t="s">
        <v>77</v>
      </c>
      <c r="B15" s="20" t="n">
        <f aca="false">B5*Inputs!$B$25</f>
        <v>31.96</v>
      </c>
      <c r="C15" s="20" t="n">
        <f aca="false">C5*Inputs!$B$25</f>
        <v>35.96</v>
      </c>
      <c r="D15" s="20" t="n">
        <f aca="false">D5*Inputs!$B$25</f>
        <v>67.16</v>
      </c>
      <c r="E15" s="6" t="s">
        <v>78</v>
      </c>
    </row>
    <row r="16" customFormat="false" ht="15" hidden="false" customHeight="false" outlineLevel="0" collapsed="false">
      <c r="A16" s="21" t="s">
        <v>79</v>
      </c>
      <c r="B16" s="22" t="n">
        <f aca="false">SUM(B10:B15)</f>
        <v>461.66976</v>
      </c>
      <c r="C16" s="22" t="n">
        <f aca="false">SUM(C10:C15)</f>
        <v>511.08976</v>
      </c>
      <c r="D16" s="22" t="n">
        <f aca="false">SUM(D10:D15)</f>
        <v>870.03952</v>
      </c>
      <c r="E16" s="6" t="s">
        <v>80</v>
      </c>
    </row>
    <row r="17" customFormat="false" ht="15" hidden="false" customHeight="false" outlineLevel="0" collapsed="false">
      <c r="A17" s="21" t="s">
        <v>81</v>
      </c>
      <c r="B17" s="22" t="n">
        <f aca="false">B9-B16</f>
        <v>416.33024</v>
      </c>
      <c r="C17" s="22" t="n">
        <f aca="false">C9-C16</f>
        <v>387.91024</v>
      </c>
      <c r="D17" s="22" t="n">
        <f aca="false">D9-D16</f>
        <v>808.96048</v>
      </c>
      <c r="E17" s="6" t="s">
        <v>82</v>
      </c>
    </row>
    <row r="18" customFormat="false" ht="15" hidden="false" customHeight="false" outlineLevel="0" collapsed="false">
      <c r="A18" s="21" t="s">
        <v>83</v>
      </c>
      <c r="B18" s="23" t="n">
        <f aca="false">IF(B9=0,0,B17/B9)</f>
        <v>0.474180227790433</v>
      </c>
      <c r="C18" s="23" t="n">
        <f aca="false">IF(C9=0,0,C17/C9)</f>
        <v>0.431490812013348</v>
      </c>
      <c r="D18" s="23" t="n">
        <f aca="false">IF(D9=0,0,D17/D9)</f>
        <v>0.481810887432996</v>
      </c>
      <c r="E18" s="6"/>
    </row>
    <row r="19" customFormat="false" ht="15" hidden="false" customHeight="false" outlineLevel="0" collapsed="false">
      <c r="A19" s="4" t="s">
        <v>84</v>
      </c>
      <c r="B19" s="24" t="n">
        <f aca="false">IF(B10=0,0,B5/B10)</f>
        <v>2.5596687948759</v>
      </c>
      <c r="C19" s="24" t="n">
        <f aca="false">IF(C10=0,0,C5/C10)</f>
        <v>2.88002784304559</v>
      </c>
      <c r="D19" s="24" t="n">
        <f aca="false">IF(D10=0,0,D5/D10)</f>
        <v>2.68941420938462</v>
      </c>
      <c r="E19" s="6" t="s">
        <v>85</v>
      </c>
    </row>
    <row r="20" customFormat="false" ht="15" hidden="false" customHeight="false" outlineLevel="0" collapsed="false">
      <c r="A20" s="4" t="s">
        <v>86</v>
      </c>
      <c r="B20" s="20" t="n">
        <f aca="false">B17-B9*Inputs!$B$26</f>
        <v>65.13024</v>
      </c>
      <c r="C20" s="20" t="n">
        <f aca="false">C17-C9*Inputs!$B$26</f>
        <v>28.31024</v>
      </c>
      <c r="D20" s="20" t="n">
        <f aca="false">D17-D9*Inputs!$B$26</f>
        <v>137.36048</v>
      </c>
      <c r="E20" s="6" t="s">
        <v>87</v>
      </c>
    </row>
    <row r="21" customFormat="false" ht="15" hidden="false" customHeight="false" outlineLevel="0" collapsed="false">
      <c r="A21" s="4" t="s">
        <v>88</v>
      </c>
      <c r="B21" s="25" t="n">
        <f aca="false">IF(B17&lt;=0,"n/a",ROUNDUP(10000/B17,0))</f>
        <v>25</v>
      </c>
      <c r="C21" s="25" t="n">
        <f aca="false">IF(C17&lt;=0,"n/a",ROUNDUP(10000/C17,0))</f>
        <v>26</v>
      </c>
      <c r="D21" s="25" t="n">
        <f aca="false">IF(D17&lt;=0,"n/a",ROUNDUP(10000/D17,0))</f>
        <v>13</v>
      </c>
      <c r="E21" s="6" t="s">
        <v>89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26" t="s">
        <v>90</v>
      </c>
    </row>
    <row r="2" customFormat="false" ht="30" hidden="false" customHeight="true" outlineLevel="0" collapsed="false">
      <c r="A2" s="27" t="s">
        <v>91</v>
      </c>
      <c r="B2" s="27"/>
      <c r="C2" s="27"/>
      <c r="D2" s="27"/>
    </row>
    <row r="4" customFormat="false" ht="15" hidden="false" customHeight="false" outlineLevel="0" collapsed="false">
      <c r="A4" s="3" t="s">
        <v>92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93</v>
      </c>
      <c r="B5" s="10" t="n">
        <f aca="false">Inputs!B9</f>
        <v>312.14976</v>
      </c>
      <c r="C5" s="10" t="n">
        <f aca="false">Inputs!C9</f>
        <v>576.826744</v>
      </c>
      <c r="D5" s="10" t="n">
        <f aca="false">Inputs!D9</f>
        <v>877.9212</v>
      </c>
    </row>
    <row r="6" customFormat="false" ht="15" hidden="false" customHeight="false" outlineLevel="0" collapsed="false">
      <c r="A6" s="8" t="s">
        <v>94</v>
      </c>
      <c r="B6" s="20" t="n">
        <f aca="false">(Tiers!$C$5+Tiers!$C$8)-(Tiers!$C$6*Inputs!B9+Tiers!$C$7*Inputs!$B$14+Inputs!$B$15+Inputs!$B$17+(Tiers!$C$5+Tiers!$C$8)*Inputs!$B$19+Inputs!$B$20+Tiers!$C$5*Inputs!$B$25)</f>
        <v>387.91024</v>
      </c>
      <c r="C6" s="20" t="n">
        <f aca="false">(Tiers!$C$5+Tiers!$C$8)-(Tiers!$C$6*Inputs!C9+Tiers!$C$7*Inputs!$B$14+Inputs!$B$15+Inputs!$B$17+(Tiers!$C$5+Tiers!$C$8)*Inputs!$B$19+Inputs!$B$20+Tiers!$C$5*Inputs!$B$25)</f>
        <v>123.233256</v>
      </c>
      <c r="D6" s="20" t="n">
        <f aca="false">(Tiers!$C$5+Tiers!$C$8)-(Tiers!$C$6*Inputs!D9+Tiers!$C$7*Inputs!$B$14+Inputs!$B$15+Inputs!$B$17+(Tiers!$C$5+Tiers!$C$8)*Inputs!$B$19+Inputs!$B$20+Tiers!$C$5*Inputs!$B$25)</f>
        <v>-177.8612</v>
      </c>
    </row>
    <row r="7" customFormat="false" ht="15" hidden="false" customHeight="false" outlineLevel="0" collapsed="false">
      <c r="A7" s="8" t="s">
        <v>95</v>
      </c>
      <c r="B7" s="20" t="n">
        <f aca="false">(Tiers!$C$5+Tiers!$C$8)-(Tiers!$C$6*Inputs!B9+Tiers!$C$7*Inputs!$B$14+Inputs!$B$15+Inputs!$B$18+(Tiers!$C$5+Tiers!$C$8)*Inputs!$B$19+Inputs!$B$20+Tiers!$C$5*Inputs!$B$25)</f>
        <v>322.91024</v>
      </c>
      <c r="C7" s="20" t="n">
        <f aca="false">(Tiers!$C$5+Tiers!$C$8)-(Tiers!$C$6*Inputs!C9+Tiers!$C$7*Inputs!$B$14+Inputs!$B$15+Inputs!$B$18+(Tiers!$C$5+Tiers!$C$8)*Inputs!$B$19+Inputs!$B$20+Tiers!$C$5*Inputs!$B$25)</f>
        <v>58.2332559999999</v>
      </c>
      <c r="D7" s="20" t="n">
        <f aca="false">(Tiers!$C$5+Tiers!$C$8)-(Tiers!$C$6*Inputs!D9+Tiers!$C$7*Inputs!$B$14+Inputs!$B$15+Inputs!$B$18+(Tiers!$C$5+Tiers!$C$8)*Inputs!$B$19+Inputs!$B$20+Tiers!$C$5*Inputs!$B$25)</f>
        <v>-242.8612</v>
      </c>
    </row>
    <row r="8" customFormat="false" ht="15" hidden="false" customHeight="false" outlineLevel="0" collapsed="false">
      <c r="A8" s="4" t="s">
        <v>96</v>
      </c>
      <c r="B8" s="28" t="n">
        <f aca="false">IF((Tiers!$C$5+Tiers!$C$8)=0,0,B6/(Tiers!$C$5+Tiers!$C$8))</f>
        <v>0.431490812013348</v>
      </c>
      <c r="C8" s="28" t="n">
        <f aca="false">IF((Tiers!$C$5+Tiers!$C$8)=0,0,C6/(Tiers!$C$5+Tiers!$C$8))</f>
        <v>0.137078149054505</v>
      </c>
      <c r="D8" s="28" t="n">
        <f aca="false">IF((Tiers!$C$5+Tiers!$C$8)=0,0,D6/(Tiers!$C$5+Tiers!$C$8))</f>
        <v>-0.197843381535039</v>
      </c>
    </row>
    <row r="9" customFormat="false" ht="15" hidden="false" customHeight="false" outlineLevel="0" collapsed="false">
      <c r="A9" s="4" t="s">
        <v>97</v>
      </c>
      <c r="B9" s="28" t="n">
        <f aca="false">IF((Tiers!$C$5+Tiers!$C$8)=0,0,B7/(Tiers!$C$5+Tiers!$C$8))</f>
        <v>0.359188253615128</v>
      </c>
      <c r="C9" s="28" t="n">
        <f aca="false">IF((Tiers!$C$5+Tiers!$C$8)=0,0,C7/(Tiers!$C$5+Tiers!$C$8))</f>
        <v>0.0647755906562846</v>
      </c>
      <c r="D9" s="28" t="n">
        <f aca="false">IF((Tiers!$C$5+Tiers!$C$8)=0,0,D7/(Tiers!$C$5+Tiers!$C$8))</f>
        <v>-0.270145939933259</v>
      </c>
    </row>
    <row r="10" customFormat="false" ht="15" hidden="false" customHeight="false" outlineLevel="0" collapsed="false">
      <c r="A10" s="4" t="s">
        <v>98</v>
      </c>
      <c r="B10" s="24" t="n">
        <f aca="false">IF(Inputs!B9=0,0,Tiers!$C$5/Inputs!B9)</f>
        <v>2.88002784304559</v>
      </c>
      <c r="C10" s="24" t="n">
        <f aca="false">IF(Inputs!C9=0,0,Tiers!$C$5/Inputs!C9)</f>
        <v>1.55852690491757</v>
      </c>
      <c r="D10" s="24" t="n">
        <f aca="false">IF(Inputs!D9=0,0,Tiers!$C$5/Inputs!D9)</f>
        <v>1.02400989974954</v>
      </c>
    </row>
    <row r="12" customFormat="false" ht="43.5" hidden="false" customHeight="true" outlineLevel="0" collapsed="false">
      <c r="A12" s="2" t="s">
        <v>99</v>
      </c>
      <c r="B12" s="2"/>
      <c r="C12" s="2"/>
      <c r="D12" s="2"/>
    </row>
    <row r="14" customFormat="false" ht="15" hidden="false" customHeight="false" outlineLevel="0" collapsed="false">
      <c r="A14" s="8" t="s">
        <v>100</v>
      </c>
    </row>
    <row r="15" customFormat="false" ht="27.75" hidden="false" customHeight="true" outlineLevel="0" collapsed="false">
      <c r="A15" s="29" t="s">
        <v>101</v>
      </c>
      <c r="B15" s="29"/>
      <c r="C15" s="29"/>
      <c r="D15" s="29"/>
    </row>
    <row r="16" customFormat="false" ht="27.75" hidden="false" customHeight="true" outlineLevel="0" collapsed="false">
      <c r="A16" s="29" t="s">
        <v>102</v>
      </c>
      <c r="B16" s="29"/>
      <c r="C16" s="29"/>
      <c r="D16" s="29"/>
    </row>
  </sheetData>
  <mergeCells count="4">
    <mergeCell ref="A2:D2"/>
    <mergeCell ref="A12:D12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2026-09-06T00:29:25Z</dcterms:created>
  <dc:creator>openpyxl</dc:creator>
  <dc:description/>
  <dc:language>en-PH</dc:language>
  <cp:lastModifiedBy/>
  <dcterms:modified xsi:type="dcterms:W3CDTF">2026-09-06T00:29:25Z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